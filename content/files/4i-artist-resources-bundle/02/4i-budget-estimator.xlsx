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or" sheetId="1" state="visible" r:id="rId3"/>
    <sheet name="Rates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<sst xmlns="http://schemas.openxmlformats.org/spreadsheetml/2006/main" count="66" uniqueCount="51">
  <si>
    <t xml:space="preserve">4i RECORDS</t>
  </si>
  <si>
    <t xml:space="preserve">MUSIC VIDEO BUDGET ESTIMATOR</t>
  </si>
  <si>
    <t xml:space="preserve">Pick A, B or C in the Option column. Costs and the total update automatically.</t>
  </si>
  <si>
    <t xml:space="preserve">Ranges are per shoot day — estimates, not quotes.</t>
  </si>
  <si>
    <t xml:space="preserve">LEGEND</t>
  </si>
  <si>
    <t xml:space="preserve">Amber cells are yours to change. Everything else is a formula.</t>
  </si>
  <si>
    <t xml:space="preserve">PRODUCTION NEED</t>
  </si>
  <si>
    <t xml:space="preserve">OPTION</t>
  </si>
  <si>
    <t xml:space="preserve">A — DO IT YOURSELF</t>
  </si>
  <si>
    <t xml:space="preserve">B — DISCOUNTED / EMERGING</t>
  </si>
  <si>
    <t xml:space="preserve">C — HIRE A PROFESSIONAL</t>
  </si>
  <si>
    <t xml:space="preserve">LOW $</t>
  </si>
  <si>
    <t xml:space="preserve">HIGH $</t>
  </si>
  <si>
    <t xml:space="preserve">DIRECTOR</t>
  </si>
  <si>
    <t xml:space="preserve">A</t>
  </si>
  <si>
    <t xml:space="preserve">Self-direct, or a friend cheap/free</t>
  </si>
  <si>
    <t xml:space="preserve">Experienced indie filmmaker, discounted</t>
  </si>
  <si>
    <t xml:space="preserve">Hire a professional</t>
  </si>
  <si>
    <t xml:space="preserve">DP</t>
  </si>
  <si>
    <t xml:space="preserve">Friend films you, or set up a tripod</t>
  </si>
  <si>
    <t xml:space="preserve">DP taking it on as a portfolio builder</t>
  </si>
  <si>
    <t xml:space="preserve">GAFF &amp; GRIP</t>
  </si>
  <si>
    <t xml:space="preserve">Skip entirely</t>
  </si>
  <si>
    <t xml:space="preserve">Film students or enthusiastic techs</t>
  </si>
  <si>
    <t xml:space="preserve">Hire professionals</t>
  </si>
  <si>
    <t xml:space="preserve">AD</t>
  </si>
  <si>
    <t xml:space="preserve">Do it yourself</t>
  </si>
  <si>
    <t xml:space="preserve">Someone at a discounted rate</t>
  </si>
  <si>
    <t xml:space="preserve">LIGHTING</t>
  </si>
  <si>
    <t xml:space="preserve">Natural light, or what you have</t>
  </si>
  <si>
    <t xml:space="preserve">Cheap rental house, or second-hand</t>
  </si>
  <si>
    <t xml:space="preserve">Professional lighting package</t>
  </si>
  <si>
    <t xml:space="preserve">CAMERA</t>
  </si>
  <si>
    <t xml:space="preserve">Phone or camera you own</t>
  </si>
  <si>
    <t xml:space="preserve">Library, student house, cheap rental</t>
  </si>
  <si>
    <t xml:space="preserve">Professional camera package</t>
  </si>
  <si>
    <t xml:space="preserve">EDITING</t>
  </si>
  <si>
    <t xml:space="preserve">Yourself, or a friend free/discounted</t>
  </si>
  <si>
    <t xml:space="preserve">4i Productions artist rate</t>
  </si>
  <si>
    <t xml:space="preserve">Pro editor, years of experience</t>
  </si>
  <si>
    <t xml:space="preserve">ESTIMATED TOTAL</t>
  </si>
  <si>
    <t xml:space="preserve">Per shoot day. Most large-scale music videos shoot two days or more — double every line except Editing.</t>
  </si>
  <si>
    <t xml:space="preserve">Source: 'What Pro Visuals Actually Cost (and Why)', 4i Records, Sept 2026. Estimates, not quotes.</t>
  </si>
  <si>
    <t xml:space="preserve">Need a real number? 4iproductions.com — get a free quote.</t>
  </si>
  <si>
    <t xml:space="preserve">Role</t>
  </si>
  <si>
    <t xml:space="preserve">A low</t>
  </si>
  <si>
    <t xml:space="preserve">A high</t>
  </si>
  <si>
    <t xml:space="preserve">B low</t>
  </si>
  <si>
    <t xml:space="preserve">B high</t>
  </si>
  <si>
    <t xml:space="preserve">C low</t>
  </si>
  <si>
    <t xml:space="preserve">C high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</si>
</sst>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57FF52"/>
      <name val="Anton"/>
      <family val="0"/>
      <charset val="1"/>
    </font>
    <font>
      <sz val="12"/>
      <color rgb="FFF0F0F0"/>
      <name val="Anton"/>
      <family val="0"/>
      <charset val="1"/>
    </font>
    <font>
      <sz val="9"/>
      <color rgb="FF888888"/>
      <name val="Inter"/>
      <family val="0"/>
      <charset val="1"/>
    </font>
    <font>
      <b val="true"/>
      <sz val="9"/>
      <color rgb="FF0A0A0A"/>
      <name val="Inter"/>
      <family val="0"/>
      <charset val="1"/>
    </font>
    <font>
      <sz val="9"/>
      <color rgb="FF888888"/>
      <name val="Roboto Mono"/>
      <family val="0"/>
      <charset val="1"/>
    </font>
    <font>
      <b val="true"/>
      <sz val="9"/>
      <color rgb="FF0A0A0A"/>
      <name val="Roboto Mono"/>
      <family val="0"/>
      <charset val="1"/>
    </font>
    <font>
      <b val="true"/>
      <sz val="10"/>
      <color rgb="FFF0F0F0"/>
      <name val="Inter"/>
      <family val="0"/>
      <charset val="1"/>
    </font>
    <font>
      <b val="true"/>
      <sz val="11"/>
      <color rgb="FF0A0A0A"/>
      <name val="Roboto Mono"/>
      <family val="0"/>
      <charset val="1"/>
    </font>
    <font>
      <sz val="9"/>
      <color rgb="FFC4C4C4"/>
      <name val="Inter"/>
      <family val="0"/>
      <charset val="1"/>
    </font>
    <font>
      <b val="true"/>
      <sz val="10"/>
      <color rgb="FF57FF52"/>
      <name val="Roboto Mono"/>
      <family val="0"/>
      <charset val="1"/>
    </font>
    <font>
      <b val="true"/>
      <sz val="11"/>
      <color rgb="FFF0F0F0"/>
      <name val="Inter"/>
      <family val="0"/>
      <charset val="1"/>
    </font>
    <font>
      <b val="true"/>
      <sz val="13"/>
      <color rgb="FF57FF52"/>
      <name val="Roboto Mono"/>
      <family val="0"/>
      <charset val="1"/>
    </font>
    <font>
      <b val="true"/>
      <sz val="9"/>
      <color rgb="FF57FF52"/>
      <name val="Inter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A0A0A"/>
        <bgColor rgb="FF111111"/>
      </patternFill>
    </fill>
    <fill>
      <patternFill patternType="solid">
        <fgColor rgb="FFFFD152"/>
        <bgColor rgb="FFFFCC00"/>
      </patternFill>
    </fill>
    <fill>
      <patternFill patternType="solid">
        <fgColor rgb="FF57FF52"/>
        <bgColor rgb="FF33CCCC"/>
      </patternFill>
    </fill>
    <fill>
      <patternFill patternType="solid">
        <fgColor rgb="FF111111"/>
        <bgColor rgb="FF161616"/>
      </patternFill>
    </fill>
    <fill>
      <patternFill patternType="solid">
        <fgColor rgb="FF161616"/>
        <bgColor rgb="FF11111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F0F0"/>
      <rgbColor rgb="FFFF0000"/>
      <rgbColor rgb="FF57FF52"/>
      <rgbColor rgb="FF0000FF"/>
      <rgbColor rgb="FFFFFF00"/>
      <rgbColor rgb="FFFF00FF"/>
      <rgbColor rgb="FF00FFFF"/>
      <rgbColor rgb="FF800000"/>
      <rgbColor rgb="FF008000"/>
      <rgbColor rgb="FF0A0A0A"/>
      <rgbColor rgb="FF808000"/>
      <rgbColor rgb="FF800080"/>
      <rgbColor rgb="FF008080"/>
      <rgbColor rgb="FFC4C4C4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15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616"/>
      <rgbColor rgb="FF111111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9"/>
    <col collapsed="false" customWidth="true" hidden="false" outlineLevel="0" max="5" min="3" style="1" width="30"/>
    <col collapsed="false" customWidth="true" hidden="false" outlineLevel="0" max="7" min="6" style="1" width="13"/>
  </cols>
  <sheetData>
    <row r="1" customFormat="false" ht="19.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4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5" t="s">
        <v>2</v>
      </c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5" t="s">
        <v>3</v>
      </c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6" t="s">
        <v>4</v>
      </c>
      <c r="B6" s="7" t="s">
        <v>5</v>
      </c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15" hidden="false" customHeight="true" outlineLevel="0" collapsed="false">
      <c r="A8" s="8" t="s">
        <v>6</v>
      </c>
      <c r="B8" s="9" t="s">
        <v>7</v>
      </c>
      <c r="C8" s="8" t="s">
        <v>8</v>
      </c>
      <c r="D8" s="8" t="s">
        <v>9</v>
      </c>
      <c r="E8" s="8" t="s">
        <v>10</v>
      </c>
      <c r="F8" s="9" t="s">
        <v>11</v>
      </c>
      <c r="G8" s="9" t="s">
        <v>12</v>
      </c>
      <c r="H8" s="3"/>
    </row>
    <row r="9" customFormat="false" ht="31.5" hidden="false" customHeight="true" outlineLevel="0" collapsed="false">
      <c r="A9" s="10" t="s">
        <v>13</v>
      </c>
      <c r="B9" s="11" t="s">
        <v>14</v>
      </c>
      <c r="C9" s="12" t="s">
        <v>15</v>
      </c>
      <c r="D9" s="12" t="s">
        <v>16</v>
      </c>
      <c r="E9" s="12" t="s">
        <v>17</v>
      </c>
      <c r="F9" s="13" t="n">
        <f aca="false">INDEX(Rates!$B$2:$G$2,1,(MATCH($B9,{"A","B","C"},0)-1)*2+1)</f>
        <v>0</v>
      </c>
      <c r="G9" s="13" t="n">
        <f aca="false">INDEX(Rates!$B$2:$G$2,1,(MATCH($B9,{"A","B","C"},0)-1)*2+2)</f>
        <v>0</v>
      </c>
      <c r="H9" s="3"/>
    </row>
    <row r="10" customFormat="false" ht="31.5" hidden="false" customHeight="true" outlineLevel="0" collapsed="false">
      <c r="A10" s="10" t="s">
        <v>18</v>
      </c>
      <c r="B10" s="11" t="s">
        <v>14</v>
      </c>
      <c r="C10" s="12" t="s">
        <v>19</v>
      </c>
      <c r="D10" s="12" t="s">
        <v>20</v>
      </c>
      <c r="E10" s="12" t="s">
        <v>17</v>
      </c>
      <c r="F10" s="13" t="n">
        <f aca="false">INDEX(Rates!$B$3:$G$3,1,(MATCH($B10,{"A","B","C"},0)-1)*2+1)</f>
        <v>0</v>
      </c>
      <c r="G10" s="13" t="n">
        <f aca="false">INDEX(Rates!$B$3:$G$3,1,(MATCH($B10,{"A","B","C"},0)-1)*2+2)</f>
        <v>0</v>
      </c>
      <c r="H10" s="3"/>
    </row>
    <row r="11" customFormat="false" ht="31.5" hidden="false" customHeight="true" outlineLevel="0" collapsed="false">
      <c r="A11" s="10" t="s">
        <v>21</v>
      </c>
      <c r="B11" s="11" t="s">
        <v>14</v>
      </c>
      <c r="C11" s="12" t="s">
        <v>22</v>
      </c>
      <c r="D11" s="12" t="s">
        <v>23</v>
      </c>
      <c r="E11" s="12" t="s">
        <v>24</v>
      </c>
      <c r="F11" s="13" t="n">
        <f aca="false">INDEX(Rates!$B$4:$G$4,1,(MATCH($B11,{"A","B","C"},0)-1)*2+1)</f>
        <v>0</v>
      </c>
      <c r="G11" s="13" t="n">
        <f aca="false">INDEX(Rates!$B$4:$G$4,1,(MATCH($B11,{"A","B","C"},0)-1)*2+2)</f>
        <v>0</v>
      </c>
      <c r="H11" s="3"/>
    </row>
    <row r="12" customFormat="false" ht="31.5" hidden="false" customHeight="true" outlineLevel="0" collapsed="false">
      <c r="A12" s="10" t="s">
        <v>25</v>
      </c>
      <c r="B12" s="11" t="s">
        <v>14</v>
      </c>
      <c r="C12" s="12" t="s">
        <v>26</v>
      </c>
      <c r="D12" s="12" t="s">
        <v>27</v>
      </c>
      <c r="E12" s="12" t="s">
        <v>17</v>
      </c>
      <c r="F12" s="13" t="n">
        <f aca="false">INDEX(Rates!$B$5:$G$5,1,(MATCH($B12,{"A","B","C"},0)-1)*2+1)</f>
        <v>0</v>
      </c>
      <c r="G12" s="13" t="n">
        <f aca="false">INDEX(Rates!$B$5:$G$5,1,(MATCH($B12,{"A","B","C"},0)-1)*2+2)</f>
        <v>0</v>
      </c>
      <c r="H12" s="3"/>
    </row>
    <row r="13" customFormat="false" ht="31.5" hidden="false" customHeight="true" outlineLevel="0" collapsed="false">
      <c r="A13" s="10" t="s">
        <v>28</v>
      </c>
      <c r="B13" s="11" t="s">
        <v>14</v>
      </c>
      <c r="C13" s="12" t="s">
        <v>29</v>
      </c>
      <c r="D13" s="12" t="s">
        <v>30</v>
      </c>
      <c r="E13" s="12" t="s">
        <v>31</v>
      </c>
      <c r="F13" s="13" t="n">
        <f aca="false">INDEX(Rates!$B$6:$G$6,1,(MATCH($B13,{"A","B","C"},0)-1)*2+1)</f>
        <v>0</v>
      </c>
      <c r="G13" s="13" t="n">
        <f aca="false">INDEX(Rates!$B$6:$G$6,1,(MATCH($B13,{"A","B","C"},0)-1)*2+2)</f>
        <v>0</v>
      </c>
      <c r="H13" s="3"/>
    </row>
    <row r="14" customFormat="false" ht="31.5" hidden="false" customHeight="true" outlineLevel="0" collapsed="false">
      <c r="A14" s="10" t="s">
        <v>32</v>
      </c>
      <c r="B14" s="11" t="s">
        <v>14</v>
      </c>
      <c r="C14" s="12" t="s">
        <v>33</v>
      </c>
      <c r="D14" s="12" t="s">
        <v>34</v>
      </c>
      <c r="E14" s="12" t="s">
        <v>35</v>
      </c>
      <c r="F14" s="13" t="n">
        <f aca="false">INDEX(Rates!$B$7:$G$7,1,(MATCH($B14,{"A","B","C"},0)-1)*2+1)</f>
        <v>0</v>
      </c>
      <c r="G14" s="13" t="n">
        <f aca="false">INDEX(Rates!$B$7:$G$7,1,(MATCH($B14,{"A","B","C"},0)-1)*2+2)</f>
        <v>0</v>
      </c>
      <c r="H14" s="3"/>
    </row>
    <row r="15" customFormat="false" ht="31.5" hidden="false" customHeight="true" outlineLevel="0" collapsed="false">
      <c r="A15" s="10" t="s">
        <v>36</v>
      </c>
      <c r="B15" s="11" t="s">
        <v>14</v>
      </c>
      <c r="C15" s="12" t="s">
        <v>37</v>
      </c>
      <c r="D15" s="12" t="s">
        <v>38</v>
      </c>
      <c r="E15" s="12" t="s">
        <v>39</v>
      </c>
      <c r="F15" s="13" t="n">
        <f aca="false">INDEX(Rates!$B$8:$G$8,1,(MATCH($B15,{"A","B","C"},0)-1)*2+1)</f>
        <v>0</v>
      </c>
      <c r="G15" s="13" t="n">
        <f aca="false">INDEX(Rates!$B$8:$G$8,1,(MATCH($B15,{"A","B","C"},0)-1)*2+2)</f>
        <v>0</v>
      </c>
      <c r="H15" s="3"/>
    </row>
    <row r="16" customFormat="false" ht="15.75" hidden="false" customHeight="true" outlineLevel="0" collapsed="false">
      <c r="A16" s="14" t="s">
        <v>40</v>
      </c>
      <c r="B16" s="14"/>
      <c r="C16" s="14"/>
      <c r="D16" s="14"/>
      <c r="E16" s="14"/>
      <c r="F16" s="15" t="n">
        <f aca="false">SUM(F9:F15)</f>
        <v>0</v>
      </c>
      <c r="G16" s="15" t="n">
        <f aca="false">SUM(G9:G15)</f>
        <v>0</v>
      </c>
      <c r="H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true" outlineLevel="0" collapsed="false">
      <c r="A18" s="16" t="s">
        <v>41</v>
      </c>
      <c r="B18" s="16"/>
      <c r="C18" s="16"/>
      <c r="D18" s="16"/>
      <c r="E18" s="16"/>
      <c r="F18" s="16"/>
      <c r="G18" s="16"/>
      <c r="H18" s="3"/>
    </row>
    <row r="19" customFormat="false" ht="15" hidden="false" customHeight="true" outlineLevel="0" collapsed="false">
      <c r="A19" s="16" t="s">
        <v>42</v>
      </c>
      <c r="B19" s="16"/>
      <c r="C19" s="16"/>
      <c r="D19" s="16"/>
      <c r="E19" s="16"/>
      <c r="F19" s="16"/>
      <c r="G19" s="16"/>
      <c r="H19" s="3"/>
    </row>
    <row r="20" customFormat="false" ht="15" hidden="false" customHeight="true" outlineLevel="0" collapsed="false">
      <c r="A20" s="17" t="s">
        <v>43</v>
      </c>
      <c r="B20" s="17"/>
      <c r="C20" s="17"/>
      <c r="D20" s="17"/>
      <c r="E20" s="17"/>
      <c r="F20" s="17"/>
      <c r="G20" s="17"/>
      <c r="H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</row>
  </sheetData>
  <mergeCells count="4">
    <mergeCell ref="A16:E16"/>
    <mergeCell ref="A18:G18"/>
    <mergeCell ref="A19:G19"/>
    <mergeCell ref="A20:G20"/>
  </mergeCells>
  <dataValidations count="1">
    <dataValidation allowBlank="false" errorStyle="stop" operator="between" prompt="Choose A, B or C" promptTitle="Option" showDropDown="false" showErrorMessage="false" showInputMessage="false" sqref="B9:B15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8" t="s">
        <v>44</v>
      </c>
      <c r="B1" s="18" t="s">
        <v>45</v>
      </c>
      <c r="C1" s="18" t="s">
        <v>46</v>
      </c>
      <c r="D1" s="18" t="s">
        <v>47</v>
      </c>
      <c r="E1" s="18" t="s">
        <v>48</v>
      </c>
      <c r="F1" s="18" t="s">
        <v>49</v>
      </c>
      <c r="G1" s="18" t="s">
        <v>50</v>
      </c>
    </row>
    <row r="2" customFormat="false" ht="15" hidden="false" customHeight="true" outlineLevel="0" collapsed="false">
      <c r="A2" s="1" t="s">
        <v>13</v>
      </c>
      <c r="B2" s="1" t="n">
        <v>0</v>
      </c>
      <c r="C2" s="1" t="n">
        <v>0</v>
      </c>
      <c r="D2" s="1" t="n">
        <v>200</v>
      </c>
      <c r="E2" s="1" t="n">
        <v>500</v>
      </c>
      <c r="F2" s="1" t="n">
        <v>500</v>
      </c>
      <c r="G2" s="1" t="n">
        <v>1250</v>
      </c>
    </row>
    <row r="3" customFormat="false" ht="15" hidden="false" customHeight="true" outlineLevel="0" collapsed="false">
      <c r="A3" s="1" t="s">
        <v>18</v>
      </c>
      <c r="B3" s="1" t="n">
        <v>0</v>
      </c>
      <c r="C3" s="1" t="n">
        <v>0</v>
      </c>
      <c r="D3" s="1" t="n">
        <v>200</v>
      </c>
      <c r="E3" s="1" t="n">
        <v>500</v>
      </c>
      <c r="F3" s="1" t="n">
        <v>1000</v>
      </c>
      <c r="G3" s="1" t="n">
        <v>1800</v>
      </c>
    </row>
    <row r="4" customFormat="false" ht="15" hidden="false" customHeight="true" outlineLevel="0" collapsed="false">
      <c r="A4" s="1" t="s">
        <v>21</v>
      </c>
      <c r="B4" s="1" t="n">
        <v>0</v>
      </c>
      <c r="C4" s="1" t="n">
        <v>0</v>
      </c>
      <c r="D4" s="1" t="n">
        <v>100</v>
      </c>
      <c r="E4" s="1" t="n">
        <v>400</v>
      </c>
      <c r="F4" s="1" t="n">
        <v>400</v>
      </c>
      <c r="G4" s="1" t="n">
        <v>2000</v>
      </c>
    </row>
    <row r="5" customFormat="false" ht="15" hidden="false" customHeight="true" outlineLevel="0" collapsed="false">
      <c r="A5" s="1" t="s">
        <v>25</v>
      </c>
      <c r="B5" s="1" t="n">
        <v>0</v>
      </c>
      <c r="C5" s="1" t="n">
        <v>0</v>
      </c>
      <c r="D5" s="1" t="n">
        <v>100</v>
      </c>
      <c r="E5" s="1" t="n">
        <v>300</v>
      </c>
      <c r="F5" s="1" t="n">
        <v>300</v>
      </c>
      <c r="G5" s="1" t="n">
        <v>800</v>
      </c>
    </row>
    <row r="6" customFormat="false" ht="15" hidden="false" customHeight="true" outlineLevel="0" collapsed="false">
      <c r="A6" s="1" t="s">
        <v>28</v>
      </c>
      <c r="B6" s="1" t="n">
        <v>0</v>
      </c>
      <c r="C6" s="1" t="n">
        <v>0</v>
      </c>
      <c r="D6" s="1" t="n">
        <v>50</v>
      </c>
      <c r="E6" s="1" t="n">
        <v>250</v>
      </c>
      <c r="F6" s="1" t="n">
        <v>300</v>
      </c>
      <c r="G6" s="1" t="n">
        <v>1200</v>
      </c>
    </row>
    <row r="7" customFormat="false" ht="15" hidden="false" customHeight="true" outlineLevel="0" collapsed="false">
      <c r="A7" s="1" t="s">
        <v>32</v>
      </c>
      <c r="B7" s="1" t="n">
        <v>0</v>
      </c>
      <c r="C7" s="1" t="n">
        <v>0</v>
      </c>
      <c r="D7" s="1" t="n">
        <v>0</v>
      </c>
      <c r="E7" s="1" t="n">
        <v>150</v>
      </c>
      <c r="F7" s="1" t="n">
        <v>300</v>
      </c>
      <c r="G7" s="1" t="n">
        <v>800</v>
      </c>
    </row>
    <row r="8" customFormat="false" ht="15" hidden="false" customHeight="true" outlineLevel="0" collapsed="false">
      <c r="A8" s="1" t="s">
        <v>36</v>
      </c>
      <c r="B8" s="1" t="n">
        <v>0</v>
      </c>
      <c r="C8" s="1" t="n">
        <v>0</v>
      </c>
      <c r="D8" s="1" t="n">
        <v>200</v>
      </c>
      <c r="E8" s="1" t="n">
        <v>600</v>
      </c>
      <c r="F8" s="1" t="n">
        <v>800</v>
      </c>
      <c r="G8" s="1" t="n">
        <v>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2026-09-22T04:44:52Z</dcterms:created>
  <dc:creator>openpyxl</dc:creator>
  <dc:description/>
  <dc:language>en-US</dc:language>
  <cp:lastModifiedBy/>
  <dcterms:modified xsi:type="dcterms:W3CDTF">2026-09-22T04:47:23Z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