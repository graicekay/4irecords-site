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tdown Coun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<sst xmlns="http://schemas.openxmlformats.org/spreadsheetml/2006/main" count="68" uniqueCount="44">
  <si>
    <t xml:space="preserve">4i RECORDS</t>
  </si>
  <si>
    <t xml:space="preserve">CUTDOWN COUNTER</t>
  </si>
  <si>
    <t xml:space="preserve">Set each deliverable to YES or NO. The totals at the bottom update automatically.</t>
  </si>
  <si>
    <t xml:space="preserve">LEGEND</t>
  </si>
  <si>
    <t xml:space="preserve">Amber cells are yours to change. Everything else is a formula.</t>
  </si>
  <si>
    <t xml:space="preserve">PLATFORM</t>
  </si>
  <si>
    <t xml:space="preserve">DELIVERABLE</t>
  </si>
  <si>
    <t xml:space="preserve">PULLING IT?</t>
  </si>
  <si>
    <t xml:space="preserve">LOW</t>
  </si>
  <si>
    <t xml:space="preserve">HIGH</t>
  </si>
  <si>
    <t xml:space="preserve">EXPORT SPEC</t>
  </si>
  <si>
    <t xml:space="preserve">YouTube</t>
  </si>
  <si>
    <t xml:space="preserve">Final music video</t>
  </si>
  <si>
    <t xml:space="preserve">YES</t>
  </si>
  <si>
    <t xml:space="preserve">16:9 · 1920x1080 or 3840x2160 · MP4</t>
  </si>
  <si>
    <t xml:space="preserve">Long-form BTS videos</t>
  </si>
  <si>
    <t xml:space="preserve">16:9 · 1920x1080 · 2-10 min</t>
  </si>
  <si>
    <t xml:space="preserve">YouTube Shorts</t>
  </si>
  <si>
    <t xml:space="preserve">Lyric clips from the finished video</t>
  </si>
  <si>
    <t xml:space="preserve">9:16 · 1080x1920 · under 3 min</t>
  </si>
  <si>
    <t xml:space="preserve">Cutdowns of your long-form BTS</t>
  </si>
  <si>
    <t xml:space="preserve">Selected portions of the final video</t>
  </si>
  <si>
    <t xml:space="preserve">Instagram</t>
  </si>
  <si>
    <t xml:space="preserve">Teaser reels</t>
  </si>
  <si>
    <t xml:space="preserve">9:16 · 1080x1920 (1440x2560 max quality)</t>
  </si>
  <si>
    <t xml:space="preserve">Sound design / a cappella shots</t>
  </si>
  <si>
    <t xml:space="preserve">9:16 · 1080x1920</t>
  </si>
  <si>
    <t xml:space="preserve">Lyric clips</t>
  </si>
  <si>
    <t xml:space="preserve">Frame grabs &amp; stills</t>
  </si>
  <si>
    <t xml:space="preserve">4:5 · 1080x1350 (1440x1800 preferred)</t>
  </si>
  <si>
    <t xml:space="preserve">BTS carousels</t>
  </si>
  <si>
    <t xml:space="preserve">4:5 · 1080x1350 · up to 20 per carousel</t>
  </si>
  <si>
    <t xml:space="preserve">TikTok</t>
  </si>
  <si>
    <t xml:space="preserve">BTS, funny moments, bloopers</t>
  </si>
  <si>
    <t xml:space="preserve">9:16 · 1080x1920 · 10 min max upload</t>
  </si>
  <si>
    <t xml:space="preserve">You talking</t>
  </si>
  <si>
    <t xml:space="preserve">Spotify</t>
  </si>
  <si>
    <t xml:space="preserve">Canvas loop</t>
  </si>
  <si>
    <t xml:space="preserve">9:16 · 720x1280 · 3-8 sec · no audio</t>
  </si>
  <si>
    <t xml:space="preserve">TOTAL DELIVERABLES</t>
  </si>
  <si>
    <t xml:space="preserve">WEEKS AT 3 POSTS / WEEK</t>
  </si>
  <si>
    <t xml:space="preserve">Counts assume one shoot with someone capturing BTS on the day.</t>
  </si>
  <si>
    <t xml:space="preserve">Source: 'The Cutdown Matrix', 4i Records, Sept 2026. Export specs verified September 2026 — re-check before a big release.</t>
  </si>
  <si>
    <t xml:space="preserve">Want the whole set cut for you? 4iproductions.com — get a free quote.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</si>
</sst>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57FF52"/>
      <name val="Anton"/>
      <family val="0"/>
      <charset val="1"/>
    </font>
    <font>
      <sz val="12"/>
      <color rgb="FFF0F0F0"/>
      <name val="Anton"/>
      <family val="0"/>
      <charset val="1"/>
    </font>
    <font>
      <sz val="9"/>
      <color rgb="FF888888"/>
      <name val="Inter"/>
      <family val="0"/>
      <charset val="1"/>
    </font>
    <font>
      <b val="true"/>
      <sz val="9"/>
      <color rgb="FF0A0A0A"/>
      <name val="Inter"/>
      <family val="0"/>
      <charset val="1"/>
    </font>
    <font>
      <b val="true"/>
      <sz val="9"/>
      <color rgb="FF0A0A0A"/>
      <name val="Roboto Mono"/>
      <family val="0"/>
      <charset val="1"/>
    </font>
    <font>
      <b val="true"/>
      <sz val="9"/>
      <color rgb="FF57FF52"/>
      <name val="Inter"/>
      <family val="0"/>
      <charset val="1"/>
    </font>
    <font>
      <sz val="10"/>
      <color rgb="FFF0F0F0"/>
      <name val="Inter"/>
      <family val="0"/>
      <charset val="1"/>
    </font>
    <font>
      <b val="true"/>
      <sz val="10"/>
      <color rgb="FF0A0A0A"/>
      <name val="Roboto Mono"/>
      <family val="0"/>
      <charset val="1"/>
    </font>
    <font>
      <b val="true"/>
      <sz val="10"/>
      <color rgb="FF57FF52"/>
      <name val="Roboto Mono"/>
      <family val="0"/>
      <charset val="1"/>
    </font>
    <font>
      <sz val="8"/>
      <color rgb="FF888888"/>
      <name val="Inter"/>
      <family val="0"/>
      <charset val="1"/>
    </font>
    <font>
      <b val="true"/>
      <sz val="11"/>
      <color rgb="FFF0F0F0"/>
      <name val="Inter"/>
      <family val="0"/>
      <charset val="1"/>
    </font>
    <font>
      <b val="true"/>
      <sz val="13"/>
      <color rgb="FF57FF52"/>
      <name val="Roboto Mono"/>
      <family val="0"/>
      <charset val="1"/>
    </font>
    <font>
      <b val="true"/>
      <sz val="9"/>
      <color rgb="FFF0F0F0"/>
      <name val="Inter"/>
      <family val="0"/>
      <charset val="1"/>
    </font>
    <font>
      <b val="true"/>
      <sz val="11"/>
      <color rgb="FF57FF52"/>
      <name val="Roboto Mon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0A0A"/>
        <bgColor rgb="FF111111"/>
      </patternFill>
    </fill>
    <fill>
      <patternFill patternType="solid">
        <fgColor rgb="FFFFD152"/>
        <bgColor rgb="FFFFCC00"/>
      </patternFill>
    </fill>
    <fill>
      <patternFill patternType="solid">
        <fgColor rgb="FF57FF52"/>
        <bgColor rgb="FF33CCCC"/>
      </patternFill>
    </fill>
    <fill>
      <patternFill patternType="solid">
        <fgColor rgb="FF111111"/>
        <bgColor rgb="FF161616"/>
      </patternFill>
    </fill>
    <fill>
      <patternFill patternType="solid">
        <fgColor rgb="FF161616"/>
        <bgColor rgb="FF11111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57FF52"/>
      <rgbColor rgb="FF0000FF"/>
      <rgbColor rgb="FFFFFF00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15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111111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5" min="4" style="1" width="9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5" t="s">
        <v>2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15" hidden="false" customHeight="true" outlineLevel="0" collapsed="false">
      <c r="A5" s="6" t="s">
        <v>3</v>
      </c>
      <c r="B5" s="5" t="s">
        <v>4</v>
      </c>
      <c r="C5" s="3"/>
      <c r="D5" s="3"/>
      <c r="E5" s="3"/>
      <c r="F5" s="3"/>
      <c r="G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true" outlineLevel="0" collapsed="false">
      <c r="A7" s="7" t="s">
        <v>5</v>
      </c>
      <c r="B7" s="7" t="s">
        <v>6</v>
      </c>
      <c r="C7" s="8" t="s">
        <v>7</v>
      </c>
      <c r="D7" s="8" t="s">
        <v>8</v>
      </c>
      <c r="E7" s="8" t="s">
        <v>9</v>
      </c>
      <c r="F7" s="7" t="s">
        <v>10</v>
      </c>
      <c r="G7" s="3"/>
    </row>
    <row r="8" customFormat="false" ht="15" hidden="false" customHeight="true" outlineLevel="0" collapsed="false">
      <c r="A8" s="9" t="s">
        <v>11</v>
      </c>
      <c r="B8" s="10" t="s">
        <v>12</v>
      </c>
      <c r="C8" s="11" t="s">
        <v>13</v>
      </c>
      <c r="D8" s="12" t="n">
        <f aca="false">IF($C8="YES",1,0)</f>
        <v>1</v>
      </c>
      <c r="E8" s="12" t="n">
        <f aca="false">IF($C8="YES",1,0)</f>
        <v>1</v>
      </c>
      <c r="F8" s="13" t="s">
        <v>14</v>
      </c>
      <c r="G8" s="3"/>
    </row>
    <row r="9" customFormat="false" ht="15" hidden="false" customHeight="true" outlineLevel="0" collapsed="false">
      <c r="A9" s="9" t="s">
        <v>11</v>
      </c>
      <c r="B9" s="10" t="s">
        <v>15</v>
      </c>
      <c r="C9" s="11" t="s">
        <v>13</v>
      </c>
      <c r="D9" s="12" t="n">
        <f aca="false">IF($C9="YES",1,0)</f>
        <v>1</v>
      </c>
      <c r="E9" s="12" t="n">
        <f aca="false">IF($C9="YES",2,0)</f>
        <v>2</v>
      </c>
      <c r="F9" s="13" t="s">
        <v>16</v>
      </c>
      <c r="G9" s="3"/>
    </row>
    <row r="10" customFormat="false" ht="15" hidden="false" customHeight="true" outlineLevel="0" collapsed="false">
      <c r="A10" s="9" t="s">
        <v>17</v>
      </c>
      <c r="B10" s="10" t="s">
        <v>18</v>
      </c>
      <c r="C10" s="11" t="s">
        <v>13</v>
      </c>
      <c r="D10" s="12" t="n">
        <f aca="false">IF($C10="YES",3,0)</f>
        <v>3</v>
      </c>
      <c r="E10" s="12" t="n">
        <f aca="false">IF($C10="YES",5,0)</f>
        <v>5</v>
      </c>
      <c r="F10" s="13" t="s">
        <v>19</v>
      </c>
      <c r="G10" s="3"/>
    </row>
    <row r="11" customFormat="false" ht="15" hidden="false" customHeight="true" outlineLevel="0" collapsed="false">
      <c r="A11" s="9" t="s">
        <v>17</v>
      </c>
      <c r="B11" s="10" t="s">
        <v>20</v>
      </c>
      <c r="C11" s="11" t="s">
        <v>13</v>
      </c>
      <c r="D11" s="12" t="n">
        <f aca="false">IF($C11="YES",2,0)</f>
        <v>2</v>
      </c>
      <c r="E11" s="12" t="n">
        <f aca="false">IF($C11="YES",4,0)</f>
        <v>4</v>
      </c>
      <c r="F11" s="13" t="s">
        <v>19</v>
      </c>
      <c r="G11" s="3"/>
    </row>
    <row r="12" customFormat="false" ht="15" hidden="false" customHeight="true" outlineLevel="0" collapsed="false">
      <c r="A12" s="9" t="s">
        <v>17</v>
      </c>
      <c r="B12" s="10" t="s">
        <v>21</v>
      </c>
      <c r="C12" s="11" t="s">
        <v>13</v>
      </c>
      <c r="D12" s="12" t="n">
        <f aca="false">IF($C12="YES",2,0)</f>
        <v>2</v>
      </c>
      <c r="E12" s="12" t="n">
        <f aca="false">IF($C12="YES",3,0)</f>
        <v>3</v>
      </c>
      <c r="F12" s="13" t="s">
        <v>19</v>
      </c>
      <c r="G12" s="3"/>
    </row>
    <row r="13" customFormat="false" ht="15" hidden="false" customHeight="true" outlineLevel="0" collapsed="false">
      <c r="A13" s="9" t="s">
        <v>22</v>
      </c>
      <c r="B13" s="10" t="s">
        <v>23</v>
      </c>
      <c r="C13" s="11" t="s">
        <v>13</v>
      </c>
      <c r="D13" s="12" t="n">
        <f aca="false">IF($C13="YES",1,0)</f>
        <v>1</v>
      </c>
      <c r="E13" s="12" t="n">
        <f aca="false">IF($C13="YES",2,0)</f>
        <v>2</v>
      </c>
      <c r="F13" s="13" t="s">
        <v>24</v>
      </c>
      <c r="G13" s="3"/>
    </row>
    <row r="14" customFormat="false" ht="15" hidden="false" customHeight="true" outlineLevel="0" collapsed="false">
      <c r="A14" s="9" t="s">
        <v>22</v>
      </c>
      <c r="B14" s="10" t="s">
        <v>25</v>
      </c>
      <c r="C14" s="11" t="s">
        <v>13</v>
      </c>
      <c r="D14" s="12" t="n">
        <f aca="false">IF($C14="YES",1,0)</f>
        <v>1</v>
      </c>
      <c r="E14" s="12" t="n">
        <f aca="false">IF($C14="YES",2,0)</f>
        <v>2</v>
      </c>
      <c r="F14" s="13" t="s">
        <v>26</v>
      </c>
      <c r="G14" s="3"/>
    </row>
    <row r="15" customFormat="false" ht="15" hidden="false" customHeight="true" outlineLevel="0" collapsed="false">
      <c r="A15" s="9" t="s">
        <v>22</v>
      </c>
      <c r="B15" s="10" t="s">
        <v>27</v>
      </c>
      <c r="C15" s="11" t="s">
        <v>13</v>
      </c>
      <c r="D15" s="12" t="n">
        <f aca="false">IF($C15="YES",5,0)</f>
        <v>5</v>
      </c>
      <c r="E15" s="12" t="n">
        <f aca="false">IF($C15="YES",10,0)</f>
        <v>10</v>
      </c>
      <c r="F15" s="13" t="s">
        <v>26</v>
      </c>
      <c r="G15" s="3"/>
    </row>
    <row r="16" customFormat="false" ht="15" hidden="false" customHeight="true" outlineLevel="0" collapsed="false">
      <c r="A16" s="9" t="s">
        <v>22</v>
      </c>
      <c r="B16" s="10" t="s">
        <v>28</v>
      </c>
      <c r="C16" s="11" t="s">
        <v>13</v>
      </c>
      <c r="D16" s="12" t="n">
        <f aca="false">IF($C16="YES",1,0)</f>
        <v>1</v>
      </c>
      <c r="E16" s="12" t="n">
        <f aca="false">IF($C16="YES",2,0)</f>
        <v>2</v>
      </c>
      <c r="F16" s="13" t="s">
        <v>29</v>
      </c>
      <c r="G16" s="3"/>
    </row>
    <row r="17" customFormat="false" ht="15" hidden="false" customHeight="true" outlineLevel="0" collapsed="false">
      <c r="A17" s="9" t="s">
        <v>22</v>
      </c>
      <c r="B17" s="10" t="s">
        <v>30</v>
      </c>
      <c r="C17" s="11" t="s">
        <v>13</v>
      </c>
      <c r="D17" s="12" t="n">
        <f aca="false">IF($C17="YES",1,0)</f>
        <v>1</v>
      </c>
      <c r="E17" s="12" t="n">
        <f aca="false">IF($C17="YES",3,0)</f>
        <v>3</v>
      </c>
      <c r="F17" s="13" t="s">
        <v>31</v>
      </c>
      <c r="G17" s="3"/>
    </row>
    <row r="18" customFormat="false" ht="15" hidden="false" customHeight="true" outlineLevel="0" collapsed="false">
      <c r="A18" s="9" t="s">
        <v>32</v>
      </c>
      <c r="B18" s="10" t="s">
        <v>33</v>
      </c>
      <c r="C18" s="11" t="s">
        <v>13</v>
      </c>
      <c r="D18" s="12" t="n">
        <f aca="false">IF($C18="YES",5,0)</f>
        <v>5</v>
      </c>
      <c r="E18" s="12" t="n">
        <f aca="false">IF($C18="YES",10,0)</f>
        <v>10</v>
      </c>
      <c r="F18" s="13" t="s">
        <v>34</v>
      </c>
      <c r="G18" s="3"/>
    </row>
    <row r="19" customFormat="false" ht="15" hidden="false" customHeight="true" outlineLevel="0" collapsed="false">
      <c r="A19" s="9" t="s">
        <v>32</v>
      </c>
      <c r="B19" s="10" t="s">
        <v>35</v>
      </c>
      <c r="C19" s="11" t="s">
        <v>13</v>
      </c>
      <c r="D19" s="12" t="n">
        <f aca="false">IF($C19="YES",5,0)</f>
        <v>5</v>
      </c>
      <c r="E19" s="12" t="n">
        <f aca="false">IF($C19="YES",10,0)</f>
        <v>10</v>
      </c>
      <c r="F19" s="13" t="s">
        <v>26</v>
      </c>
      <c r="G19" s="3"/>
    </row>
    <row r="20" customFormat="false" ht="15" hidden="false" customHeight="true" outlineLevel="0" collapsed="false">
      <c r="A20" s="9" t="s">
        <v>36</v>
      </c>
      <c r="B20" s="10" t="s">
        <v>37</v>
      </c>
      <c r="C20" s="11" t="s">
        <v>13</v>
      </c>
      <c r="D20" s="12" t="n">
        <f aca="false">IF($C20="YES",1,0)</f>
        <v>1</v>
      </c>
      <c r="E20" s="12" t="n">
        <f aca="false">IF($C20="YES",1,0)</f>
        <v>1</v>
      </c>
      <c r="F20" s="13" t="s">
        <v>38</v>
      </c>
      <c r="G20" s="3"/>
    </row>
    <row r="21" customFormat="false" ht="15.75" hidden="false" customHeight="true" outlineLevel="0" collapsed="false">
      <c r="A21" s="14" t="s">
        <v>39</v>
      </c>
      <c r="B21" s="14"/>
      <c r="C21" s="14"/>
      <c r="D21" s="15" t="n">
        <f aca="false">SUM(D8:D20)</f>
        <v>29</v>
      </c>
      <c r="E21" s="15" t="n">
        <f aca="false">SUM(E8:E20)</f>
        <v>55</v>
      </c>
      <c r="F21" s="16"/>
      <c r="G21" s="3"/>
    </row>
    <row r="22" customFormat="false" ht="15" hidden="false" customHeight="true" outlineLevel="0" collapsed="false">
      <c r="A22" s="17" t="s">
        <v>40</v>
      </c>
      <c r="B22" s="17"/>
      <c r="C22" s="17"/>
      <c r="D22" s="18" t="n">
        <f aca="false">ROUND(D21/3,0)</f>
        <v>10</v>
      </c>
      <c r="E22" s="18" t="n">
        <f aca="false">ROUND(E21/3,0)</f>
        <v>18</v>
      </c>
      <c r="F22" s="16"/>
      <c r="G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</row>
    <row r="24" customFormat="false" ht="15" hidden="false" customHeight="true" outlineLevel="0" collapsed="false">
      <c r="A24" s="19" t="s">
        <v>41</v>
      </c>
      <c r="B24" s="19"/>
      <c r="C24" s="19"/>
      <c r="D24" s="19"/>
      <c r="E24" s="19"/>
      <c r="F24" s="19"/>
      <c r="G24" s="3"/>
    </row>
    <row r="25" customFormat="false" ht="15" hidden="false" customHeight="true" outlineLevel="0" collapsed="false">
      <c r="A25" s="19" t="s">
        <v>42</v>
      </c>
      <c r="B25" s="19"/>
      <c r="C25" s="19"/>
      <c r="D25" s="19"/>
      <c r="E25" s="19"/>
      <c r="F25" s="19"/>
      <c r="G25" s="3"/>
    </row>
    <row r="26" customFormat="false" ht="15" hidden="false" customHeight="true" outlineLevel="0" collapsed="false">
      <c r="A26" s="20" t="s">
        <v>43</v>
      </c>
      <c r="B26" s="20"/>
      <c r="C26" s="20"/>
      <c r="D26" s="20"/>
      <c r="E26" s="20"/>
      <c r="F26" s="20"/>
      <c r="G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</row>
  </sheetData>
  <mergeCells count="5">
    <mergeCell ref="A21:C21"/>
    <mergeCell ref="A22:C22"/>
    <mergeCell ref="A24:F24"/>
    <mergeCell ref="A25:F25"/>
    <mergeCell ref="A26:F26"/>
  </mergeCells>
  <dataValidations count="1">
    <dataValidation allowBlank="false" errorStyle="stop" operator="between" showDropDown="false" showErrorMessage="false" showInputMessage="false" sqref="C8:C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2026-09-22T04:45:20Z</dcterms:created>
  <dc:creator>openpyxl</dc:creator>
  <dc:description/>
  <dc:language>en-US</dc:language>
  <cp:lastModifiedBy/>
  <dcterms:modified xsi:type="dcterms:W3CDTF">2026-09-22T04:47:23Z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